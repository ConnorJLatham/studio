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Projects\rocket\rocket_1\"/>
    </mc:Choice>
  </mc:AlternateContent>
  <xr:revisionPtr revIDLastSave="0" documentId="13_ncr:1_{9D0479CF-CD52-4772-A892-14ED78A2E63B}" xr6:coauthVersionLast="45" xr6:coauthVersionMax="45" xr10:uidLastSave="{00000000-0000-0000-0000-000000000000}"/>
  <bookViews>
    <workbookView xWindow="28680" yWindow="330" windowWidth="29040" windowHeight="15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3" i="1" l="1"/>
  <c r="B3" i="1"/>
  <c r="B2" i="1"/>
  <c r="B11" i="1" s="1"/>
  <c r="B10" i="1" l="1"/>
  <c r="B12" i="1" s="1"/>
  <c r="B4" i="1"/>
  <c r="B7" i="1" s="1"/>
  <c r="B14" i="1" l="1"/>
</calcChain>
</file>

<file path=xl/sharedStrings.xml><?xml version="1.0" encoding="utf-8"?>
<sst xmlns="http://schemas.openxmlformats.org/spreadsheetml/2006/main" count="13" uniqueCount="13">
  <si>
    <t>Tube Stress</t>
  </si>
  <si>
    <t>OD [m]</t>
  </si>
  <si>
    <t>ID [m]</t>
  </si>
  <si>
    <t>Area [m^2]</t>
  </si>
  <si>
    <t>Measured Max Compression [Pa]</t>
  </si>
  <si>
    <t>Safety Factor</t>
  </si>
  <si>
    <t>Max Safe Thrust [N]</t>
  </si>
  <si>
    <t>Shell Buckling</t>
  </si>
  <si>
    <t>Averaged Radius (a) [m]</t>
  </si>
  <si>
    <t>Thickness (h) [m]</t>
  </si>
  <si>
    <t>R/Thick Ratio</t>
  </si>
  <si>
    <t>E [Pa]</t>
  </si>
  <si>
    <t>Normalized Buckle Stress [Pa]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</si>
</sst>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1" fontId="1" fillId="0" borderId="0" xfId="0" applyNumberFormat="1" applyFont="1"/>
    <xf numFmtId="11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1"/>
  <sheetViews>
    <sheetView tabSelected="1" workbookViewId="0">
      <selection activeCell="I16" sqref="I16"/>
    </sheetView>
  </sheetViews>
  <sheetFormatPr defaultColWidth="14.42578125" defaultRowHeight="15.75" customHeight="1" x14ac:dyDescent="0.2"/>
  <cols>
    <col min="1" max="1" width="28.7109375" customWidth="1"/>
  </cols>
  <sheetData>
    <row r="1" spans="1:2" x14ac:dyDescent="0.2">
      <c r="A1" s="1" t="s">
        <v>0</v>
      </c>
      <c r="B1" s="2"/>
    </row>
    <row r="2" spans="1:2" x14ac:dyDescent="0.2">
      <c r="A2" s="1" t="s">
        <v>1</v>
      </c>
      <c r="B2" s="2">
        <f>7.87/100</f>
        <v>7.8700000000000006E-2</v>
      </c>
    </row>
    <row r="3" spans="1:2" x14ac:dyDescent="0.2">
      <c r="A3" s="1" t="s">
        <v>2</v>
      </c>
      <c r="B3" s="2">
        <f>7.62/100</f>
        <v>7.6200000000000004E-2</v>
      </c>
    </row>
    <row r="4" spans="1:2" x14ac:dyDescent="0.2">
      <c r="A4" s="1" t="s">
        <v>3</v>
      </c>
      <c r="B4" s="2">
        <f>PI()*((B2/2)^2-(B3/2)^2)</f>
        <v>3.041454387756622E-4</v>
      </c>
    </row>
    <row r="5" spans="1:2" x14ac:dyDescent="0.2">
      <c r="A5" s="1" t="s">
        <v>4</v>
      </c>
      <c r="B5" s="3">
        <v>11050900</v>
      </c>
    </row>
    <row r="6" spans="1:2" x14ac:dyDescent="0.2">
      <c r="A6" s="1" t="s">
        <v>5</v>
      </c>
      <c r="B6" s="3">
        <v>0.5</v>
      </c>
    </row>
    <row r="7" spans="1:2" x14ac:dyDescent="0.2">
      <c r="A7" s="1" t="s">
        <v>6</v>
      </c>
      <c r="B7" s="2">
        <f>B5*B4*B6</f>
        <v>1680.5404146829828</v>
      </c>
    </row>
    <row r="8" spans="1:2" x14ac:dyDescent="0.2">
      <c r="B8" s="2"/>
    </row>
    <row r="9" spans="1:2" x14ac:dyDescent="0.2">
      <c r="A9" s="1" t="s">
        <v>7</v>
      </c>
      <c r="B9" s="2"/>
    </row>
    <row r="10" spans="1:2" x14ac:dyDescent="0.2">
      <c r="A10" s="1" t="s">
        <v>8</v>
      </c>
      <c r="B10" s="2">
        <f>(B2+B3)/4</f>
        <v>3.8725000000000002E-2</v>
      </c>
    </row>
    <row r="11" spans="1:2" x14ac:dyDescent="0.2">
      <c r="A11" s="1" t="s">
        <v>9</v>
      </c>
      <c r="B11" s="2">
        <f>(B2-B3)/2</f>
        <v>1.2500000000000011E-3</v>
      </c>
    </row>
    <row r="12" spans="1:2" x14ac:dyDescent="0.2">
      <c r="A12" s="1" t="s">
        <v>10</v>
      </c>
      <c r="B12" s="2">
        <f>B10/B11</f>
        <v>30.979999999999976</v>
      </c>
    </row>
    <row r="13" spans="1:2" x14ac:dyDescent="0.2">
      <c r="A13" s="1" t="s">
        <v>11</v>
      </c>
      <c r="B13" s="2">
        <f>10000000/0.0125</f>
        <v>800000000</v>
      </c>
    </row>
    <row r="14" spans="1:2" x14ac:dyDescent="0.2">
      <c r="A14" s="1" t="s">
        <v>12</v>
      </c>
      <c r="B14" s="2">
        <f>0.6*B13*B11/B10</f>
        <v>15493867.010974836</v>
      </c>
    </row>
    <row r="15" spans="1:2" x14ac:dyDescent="0.2">
      <c r="B15" s="2"/>
    </row>
    <row r="16" spans="1:2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  <row r="29" spans="2:2" x14ac:dyDescent="0.2">
      <c r="B29" s="2"/>
    </row>
    <row r="30" spans="2:2" x14ac:dyDescent="0.2">
      <c r="B30" s="2"/>
    </row>
    <row r="31" spans="2:2" x14ac:dyDescent="0.2">
      <c r="B31" s="2"/>
    </row>
    <row r="32" spans="2:2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  <row r="270" spans="2:2" x14ac:dyDescent="0.2">
      <c r="B270" s="2"/>
    </row>
    <row r="271" spans="2:2" x14ac:dyDescent="0.2">
      <c r="B271" s="2"/>
    </row>
    <row r="272" spans="2:2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  <row r="1001" spans="2:2" x14ac:dyDescent="0.2">
      <c r="B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Connor</cp:lastModifiedBy>
  <dcterms:modified xsi:type="dcterms:W3CDTF">2020-08-31T05:37:30Z</dcterms:modified>
</cp:coreProperties>
</file>